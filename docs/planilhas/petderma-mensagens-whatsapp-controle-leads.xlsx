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role de Leads" sheetId="1" state="visible" r:id="rId3"/>
    <sheet name="Mensagens Padrão" sheetId="2" state="visible" r:id="rId4"/>
    <sheet name="Resum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<sst xmlns="http://schemas.openxmlformats.org/spreadsheetml/2006/main" count="116" uniqueCount="79">
  <si>
    <t xml:space="preserve">CONTROLE DE LEADS — WHATSAPP PETDERMA</t>
  </si>
  <si>
    <t xml:space="preserve">Preencher a partir da linha 5. Colunas D (Origem), E (Unidade) e G (Status) têm lista suspensa — clique na célula e escolha. A linha 5 é um EXEMPLO: substitua pelos dados reais. Origem: identifique pela mensagem recebida — "Vim pelo Google" = Google · "Venho Pelo Instagram ..." = Meta (o nome no fim indica o perfil).</t>
  </si>
  <si>
    <t xml:space="preserve">Data</t>
  </si>
  <si>
    <t xml:space="preserve">Nome do cliente</t>
  </si>
  <si>
    <t xml:space="preserve">Telefone</t>
  </si>
  <si>
    <t xml:space="preserve">Origem</t>
  </si>
  <si>
    <t xml:space="preserve">Unidade</t>
  </si>
  <si>
    <t xml:space="preserve">Serviço de interesse</t>
  </si>
  <si>
    <t xml:space="preserve">Status</t>
  </si>
  <si>
    <t xml:space="preserve">Observações</t>
  </si>
  <si>
    <t xml:space="preserve">29/07/2026</t>
  </si>
  <si>
    <t xml:space="preserve">Maria Silva (EXEMPLO)</t>
  </si>
  <si>
    <t xml:space="preserve">(11) 91234-5678</t>
  </si>
  <si>
    <t xml:space="preserve">Meta — Pet Derma SP</t>
  </si>
  <si>
    <t xml:space="preserve">Campo Belo</t>
  </si>
  <si>
    <t xml:space="preserve">Consulta Dermatológica</t>
  </si>
  <si>
    <t xml:space="preserve">Novo</t>
  </si>
  <si>
    <t xml:space="preserve">Linha de exemplo — apagar/substituir</t>
  </si>
  <si>
    <t xml:space="preserve">MENSAGENS PADRÃO — BOTÕES DE WHATSAPP PETDERMA</t>
  </si>
  <si>
    <t xml:space="preserve">Regra de origem: TODA mensagem do site contém "Google" e TODA mensagem do Instagram contém "Instagram" — é isso que identifica a origem do lead (tag no CRM). Nenhuma mensagem tem emoji. {Serviço}, {Título do post} e {Unidade} são preenchidos automaticamente conforme a página em que o cliente clicou.</t>
  </si>
  <si>
    <t xml:space="preserve">Onde está o botão / uso</t>
  </si>
  <si>
    <t xml:space="preserve">Unidade / Perfil</t>
  </si>
  <si>
    <t xml:space="preserve">Número de destino</t>
  </si>
  <si>
    <t xml:space="preserve">Mensagem padrão</t>
  </si>
  <si>
    <t xml:space="preserve">Link pronto (wa.me)</t>
  </si>
  <si>
    <t xml:space="preserve">META (INSTAGRAM) — links pra usar na bio / anúncios</t>
  </si>
  <si>
    <t xml:space="preserve">Meta</t>
  </si>
  <si>
    <t xml:space="preserve">Instagram Pet Derma (SP)</t>
  </si>
  <si>
    <t xml:space="preserve">Pet Derma SP</t>
  </si>
  <si>
    <t xml:space="preserve">+55 11 94081-6373</t>
  </si>
  <si>
    <t xml:space="preserve">Olá! Venho Pelo Instagram Pet Derma e queria mais informações, por favor.</t>
  </si>
  <si>
    <t xml:space="preserve">https://wa.me/5511940816373?text=Ol%C3%A1%21%20Venho%20Pelo%20Instagram%20Pet%20Derma%20e%20queria%20mais%20informa%C3%A7%C3%B5es%2C%20por%20favor.</t>
  </si>
  <si>
    <t xml:space="preserve">Instagram Pet Derma SJC</t>
  </si>
  <si>
    <t xml:space="preserve">São José dos Campos</t>
  </si>
  <si>
    <t xml:space="preserve">+55 12 99176-8686</t>
  </si>
  <si>
    <t xml:space="preserve">Olá! Venho Pelo Instagram Pet Derma SJC e queria mais informações, por favor.</t>
  </si>
  <si>
    <t xml:space="preserve">https://wa.me/5512991768686?text=Ol%C3%A1%21%20Venho%20Pelo%20Instagram%20Pet%20Derma%20SJC%20e%20queria%20mais%20informa%C3%A7%C3%B5es%2C%20por%20favor.</t>
  </si>
  <si>
    <t xml:space="preserve">Instagram Dr. Douglas Bessa</t>
  </si>
  <si>
    <t xml:space="preserve">Dr. Bessa (Campo Belo / Tatuapé)</t>
  </si>
  <si>
    <t xml:space="preserve">+55 11 98981-2898</t>
  </si>
  <si>
    <t xml:space="preserve">Olá! Venho Pelo Instagram Dr. Douglas Bessa e queria mais informações, por favor.</t>
  </si>
  <si>
    <t xml:space="preserve">https://wa.me/5511989812898?text=Ol%C3%A1%21%20Venho%20Pelo%20Instagram%20Dr.%20Douglas%20Bessa%20e%20queria%20mais%20informa%C3%A7%C3%B5es%2C%20por%20favor.</t>
  </si>
  <si>
    <t xml:space="preserve">GOOGLE (SITE lp.petderma.com.br) — mensagens já configuradas nos botões</t>
  </si>
  <si>
    <t xml:space="preserve">Google</t>
  </si>
  <si>
    <t xml:space="preserve">Botões gerais: cabeçalho, menu mobile, hero, equipe, CTA final, flutuantes (desktop/mobile), pop-up de saída, Sobre, Equipe, Serviços (índice), caso resolvido, página 404</t>
  </si>
  <si>
    <t xml:space="preserve">Padrão (Campo Belo)</t>
  </si>
  <si>
    <t xml:space="preserve">Olá! Vim pelo Google, encontrei o site de vocês e gostaria de agendar uma consulta dermatológica.</t>
  </si>
  <si>
    <t xml:space="preserve">— (gerado pelo site)</t>
  </si>
  <si>
    <t xml:space="preserve">Botões de unidade (Home, índice de unidades, hero/card da unidade, sidebar do Contato)</t>
  </si>
  <si>
    <t xml:space="preserve">Olá! Vim pelo Google, encontrei o site de vocês e gostaria de agendar uma consulta dermatológica na unidade Campo Belo.</t>
  </si>
  <si>
    <t xml:space="preserve">Botões de unidade (idem)</t>
  </si>
  <si>
    <t xml:space="preserve">Tatuapé</t>
  </si>
  <si>
    <t xml:space="preserve">Olá! Vim pelo Google, encontrei o site de vocês e gostaria de agendar uma consulta dermatológica na unidade Tatuapé.</t>
  </si>
  <si>
    <t xml:space="preserve">Olá! Vim pelo Google, encontrei o site de vocês e gostaria de agendar uma consulta dermatológica na unidade São José dos Campos.</t>
  </si>
  <si>
    <t xml:space="preserve">Página de serviço — botão do topo</t>
  </si>
  <si>
    <t xml:space="preserve">Conforme a página</t>
  </si>
  <si>
    <t xml:space="preserve">Padrão da unidade</t>
  </si>
  <si>
    <t xml:space="preserve">Olá! Vim pelo Google e gostaria de saber mais sobre {Serviço} para meu pet.</t>
  </si>
  <si>
    <t xml:space="preserve">Página de serviço — botão de agendar (CTA)</t>
  </si>
  <si>
    <t xml:space="preserve">Olá! Vim pelo Google e gostaria de agendar para {Serviço}.</t>
  </si>
  <si>
    <t xml:space="preserve">Post do blog — botão dentro do artigo</t>
  </si>
  <si>
    <t xml:space="preserve">—</t>
  </si>
  <si>
    <t xml:space="preserve">Olá! Vim pelo Google, li o artigo sobre {Título do post} no blog e gostaria de agendar uma consulta.</t>
  </si>
  <si>
    <t xml:space="preserve">Página da unidade — botão de transporte público</t>
  </si>
  <si>
    <t xml:space="preserve">Olá! Vim pelo Google e vou na unidade {Unidade}; gostaria de saber qual o transporte público mais próximo.</t>
  </si>
  <si>
    <t xml:space="preserve">RESUMO AUTOMÁTICO DOS LEADS</t>
  </si>
  <si>
    <t xml:space="preserve">Calculado sozinho a partir da aba "Controle de Leads" (linhas 5 a 300) — não precisa mexer aqui. Enquanto a linha de exemplo não for substituída, ela conta nos totais.</t>
  </si>
  <si>
    <t xml:space="preserve">Leads por Origem</t>
  </si>
  <si>
    <t xml:space="preserve">Qtde</t>
  </si>
  <si>
    <t xml:space="preserve">Meta — Pet Derma SJC</t>
  </si>
  <si>
    <t xml:space="preserve">Meta — Dr. Bessa</t>
  </si>
  <si>
    <t xml:space="preserve">Total</t>
  </si>
  <si>
    <t xml:space="preserve">Leads por Status</t>
  </si>
  <si>
    <t xml:space="preserve">Em atendimento</t>
  </si>
  <si>
    <t xml:space="preserve">Agendado</t>
  </si>
  <si>
    <t xml:space="preserve">Compareceu</t>
  </si>
  <si>
    <t xml:space="preserve">Não respondeu</t>
  </si>
  <si>
    <t xml:space="preserve">Perdido</t>
  </si>
  <si>
    <t xml:space="preserve">Leads por Unidade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</si>
</sst>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u val="single"/>
      <sz val="8"/>
      <color rgb="FF0563C1"/>
      <name val="Arial"/>
      <family val="0"/>
      <charset val="1"/>
    </font>
    <font>
      <sz val="8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15839"/>
        <bgColor rgb="FFFF8080"/>
      </patternFill>
    </fill>
    <fill>
      <patternFill patternType="solid">
        <fgColor rgb="FFFFF3CD"/>
        <bgColor rgb="FFF2F2F2"/>
      </patternFill>
    </fill>
    <fill>
      <patternFill patternType="solid">
        <fgColor rgb="FF3A3A3A"/>
        <bgColor rgb="FF333300"/>
      </patternFill>
    </fill>
    <fill>
      <patternFill patternType="solid">
        <fgColor rgb="FFF2F2F2"/>
        <bgColor rgb="FFFFFFFF"/>
      </patternFill>
    </fill>
    <fill>
      <patternFill patternType="solid">
        <fgColor rgb="FF1877F2"/>
        <bgColor rgb="FF0563C1"/>
      </patternFill>
    </fill>
    <fill>
      <patternFill patternType="solid">
        <fgColor rgb="FF34A853"/>
        <bgColor rgb="FF008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3CD"/>
      <rgbColor rgb="FFF2F2F2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877F2"/>
      <rgbColor rgb="FF33CCCC"/>
      <rgbColor rgb="FF99CC00"/>
      <rgbColor rgb="FFFFCC00"/>
      <rgbColor rgb="FFFF9900"/>
      <rgbColor rgb="FFF15839"/>
      <rgbColor rgb="FF666699"/>
      <rgbColor rgb="FF969696"/>
      <rgbColor rgb="FF003366"/>
      <rgbColor rgb="FF34A853"/>
      <rgbColor rgb="FF003300"/>
      <rgbColor rgb="FF333300"/>
      <rgbColor rgb="FF993300"/>
      <rgbColor rgb="FF993366"/>
      <rgbColor rgb="FF333399"/>
      <rgbColor rgb="FF3A3A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a.me/5511940816373?text=Ol&#225;%21%20Venho%20Pelo%20Instagram%20Pet%20Derma%20e%20queria%20mais%20informa&#231;&#245;es%2C%20por%20favor." TargetMode="External"/><Relationship Id="rId2" Type="http://schemas.openxmlformats.org/officeDocument/2006/relationships/hyperlink" Target="https://wa.me/5512991768686?text=Ol&#225;%21%20Venho%20Pelo%20Instagram%20Pet%20Derma%20SJC%20e%20queria%20mais%20informa&#231;&#245;es%2C%20por%20favor." TargetMode="External"/><Relationship Id="rId3" Type="http://schemas.openxmlformats.org/officeDocument/2006/relationships/hyperlink" Target="https://wa.me/5511989812898?text=Ol&#225;%21%20Venho%20Pelo%20Instagram%20Dr.%20Douglas%20Bessa%20e%20queria%20mais%20informa&#231;&#245;es%2C%20por%20favor.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17"/>
    <col collapsed="false" customWidth="true" hidden="false" outlineLevel="0" max="4" min="4" style="0" width="22"/>
    <col collapsed="false" customWidth="true" hidden="false" outlineLevel="0" max="5" min="5" style="0" width="19"/>
    <col collapsed="false" customWidth="true" hidden="false" outlineLevel="0" max="6" min="6" style="0" width="24"/>
    <col collapsed="false" customWidth="true" hidden="false" outlineLevel="0" max="7" min="7" style="0" width="15"/>
    <col collapsed="false" customWidth="true" hidden="false" outlineLevel="0" max="8" min="8" style="0" width="3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4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9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s">
        <v>10</v>
      </c>
      <c r="B5" s="4" t="s">
        <v>11</v>
      </c>
      <c r="C5" s="4" t="s">
        <v>12</v>
      </c>
      <c r="D5" s="4" t="s">
        <v>13</v>
      </c>
      <c r="E5" s="4" t="s">
        <v>14</v>
      </c>
      <c r="F5" s="4" t="s">
        <v>15</v>
      </c>
      <c r="G5" s="4" t="s">
        <v>16</v>
      </c>
      <c r="H5" s="4" t="s">
        <v>17</v>
      </c>
    </row>
  </sheetData>
  <mergeCells count="2">
    <mergeCell ref="A1:H1"/>
    <mergeCell ref="A2:H2"/>
  </mergeCells>
  <dataValidations count="3">
    <dataValidation allowBlank="true" errorStyle="stop" operator="between" showDropDown="false" showErrorMessage="false" showInputMessage="false" sqref="D5:D300" type="list">
      <formula1>"Google,Meta — Pet Derma SP,Meta — Pet Derma SJC,Meta — Dr. Bessa"</formula1>
      <formula2>0</formula2>
    </dataValidation>
    <dataValidation allowBlank="true" errorStyle="stop" operator="between" showDropDown="false" showErrorMessage="false" showInputMessage="false" sqref="E5:E300" type="list">
      <formula1>"Campo Belo,Tatuapé,São José dos Campos"</formula1>
      <formula2>0</formula2>
    </dataValidation>
    <dataValidation allowBlank="true" errorStyle="stop" operator="between" showDropDown="false" showErrorMessage="false" showInputMessage="false" sqref="G5:G300" type="list">
      <formula1>"Novo,Em atendimento,Agendado,Compareceu,Não respondeu,Perdido"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52"/>
    <col collapsed="false" customWidth="true" hidden="false" outlineLevel="0" max="6" min="6" style="0" width="40"/>
  </cols>
  <sheetData>
    <row r="1" customFormat="false" ht="27.75" hidden="false" customHeight="true" outlineLevel="0" collapsed="false">
      <c r="A1" s="1" t="s">
        <v>18</v>
      </c>
      <c r="B1" s="1"/>
      <c r="C1" s="1"/>
      <c r="D1" s="1"/>
      <c r="E1" s="1"/>
      <c r="F1" s="1"/>
    </row>
    <row r="2" customFormat="false" ht="42" hidden="false" customHeight="true" outlineLevel="0" collapsed="false">
      <c r="A2" s="2" t="s">
        <v>19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5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</row>
    <row r="5" customFormat="false" ht="19.5" hidden="false" customHeight="true" outlineLevel="0" collapsed="false">
      <c r="A5" s="5" t="s">
        <v>25</v>
      </c>
      <c r="B5" s="5"/>
      <c r="C5" s="5"/>
      <c r="D5" s="5"/>
      <c r="E5" s="5"/>
      <c r="F5" s="5"/>
    </row>
    <row r="6" customFormat="false" ht="39.75" hidden="false" customHeight="true" outlineLevel="0" collapsed="false">
      <c r="A6" s="6" t="s">
        <v>26</v>
      </c>
      <c r="B6" s="6" t="s">
        <v>27</v>
      </c>
      <c r="C6" s="6" t="s">
        <v>28</v>
      </c>
      <c r="D6" s="7" t="s">
        <v>29</v>
      </c>
      <c r="E6" s="6" t="s">
        <v>30</v>
      </c>
      <c r="F6" s="8" t="s">
        <v>31</v>
      </c>
    </row>
    <row r="7" customFormat="false" ht="39.75" hidden="false" customHeight="true" outlineLevel="0" collapsed="false">
      <c r="A7" s="6" t="s">
        <v>26</v>
      </c>
      <c r="B7" s="6" t="s">
        <v>32</v>
      </c>
      <c r="C7" s="6" t="s">
        <v>33</v>
      </c>
      <c r="D7" s="7" t="s">
        <v>34</v>
      </c>
      <c r="E7" s="6" t="s">
        <v>35</v>
      </c>
      <c r="F7" s="8" t="s">
        <v>36</v>
      </c>
    </row>
    <row r="8" customFormat="false" ht="39.75" hidden="false" customHeight="true" outlineLevel="0" collapsed="false">
      <c r="A8" s="6" t="s">
        <v>26</v>
      </c>
      <c r="B8" s="6" t="s">
        <v>37</v>
      </c>
      <c r="C8" s="6" t="s">
        <v>38</v>
      </c>
      <c r="D8" s="7" t="s">
        <v>39</v>
      </c>
      <c r="E8" s="6" t="s">
        <v>40</v>
      </c>
      <c r="F8" s="8" t="s">
        <v>41</v>
      </c>
    </row>
    <row r="9" customFormat="false" ht="19.5" hidden="false" customHeight="true" outlineLevel="0" collapsed="false">
      <c r="A9" s="9" t="s">
        <v>42</v>
      </c>
      <c r="B9" s="9"/>
      <c r="C9" s="9"/>
      <c r="D9" s="9"/>
      <c r="E9" s="9"/>
      <c r="F9" s="9"/>
    </row>
    <row r="10" customFormat="false" ht="51.75" hidden="false" customHeight="true" outlineLevel="0" collapsed="false">
      <c r="A10" s="6" t="s">
        <v>43</v>
      </c>
      <c r="B10" s="6" t="s">
        <v>44</v>
      </c>
      <c r="C10" s="6" t="s">
        <v>45</v>
      </c>
      <c r="D10" s="7" t="s">
        <v>39</v>
      </c>
      <c r="E10" s="6" t="s">
        <v>46</v>
      </c>
      <c r="F10" s="10" t="s">
        <v>47</v>
      </c>
    </row>
    <row r="11" customFormat="false" ht="39.75" hidden="false" customHeight="true" outlineLevel="0" collapsed="false">
      <c r="A11" s="6" t="s">
        <v>43</v>
      </c>
      <c r="B11" s="6" t="s">
        <v>48</v>
      </c>
      <c r="C11" s="6" t="s">
        <v>14</v>
      </c>
      <c r="D11" s="7" t="s">
        <v>39</v>
      </c>
      <c r="E11" s="6" t="s">
        <v>49</v>
      </c>
      <c r="F11" s="10" t="s">
        <v>47</v>
      </c>
    </row>
    <row r="12" customFormat="false" ht="39.75" hidden="false" customHeight="true" outlineLevel="0" collapsed="false">
      <c r="A12" s="6" t="s">
        <v>43</v>
      </c>
      <c r="B12" s="6" t="s">
        <v>50</v>
      </c>
      <c r="C12" s="6" t="s">
        <v>51</v>
      </c>
      <c r="D12" s="7" t="s">
        <v>39</v>
      </c>
      <c r="E12" s="6" t="s">
        <v>52</v>
      </c>
      <c r="F12" s="10" t="s">
        <v>47</v>
      </c>
    </row>
    <row r="13" customFormat="false" ht="39.75" hidden="false" customHeight="true" outlineLevel="0" collapsed="false">
      <c r="A13" s="6" t="s">
        <v>43</v>
      </c>
      <c r="B13" s="6" t="s">
        <v>50</v>
      </c>
      <c r="C13" s="6" t="s">
        <v>33</v>
      </c>
      <c r="D13" s="7" t="s">
        <v>34</v>
      </c>
      <c r="E13" s="6" t="s">
        <v>53</v>
      </c>
      <c r="F13" s="10" t="s">
        <v>47</v>
      </c>
    </row>
    <row r="14" customFormat="false" ht="39.75" hidden="false" customHeight="true" outlineLevel="0" collapsed="false">
      <c r="A14" s="6" t="s">
        <v>43</v>
      </c>
      <c r="B14" s="6" t="s">
        <v>54</v>
      </c>
      <c r="C14" s="6" t="s">
        <v>55</v>
      </c>
      <c r="D14" s="7" t="s">
        <v>56</v>
      </c>
      <c r="E14" s="6" t="s">
        <v>57</v>
      </c>
      <c r="F14" s="10" t="s">
        <v>47</v>
      </c>
    </row>
    <row r="15" customFormat="false" ht="39.75" hidden="false" customHeight="true" outlineLevel="0" collapsed="false">
      <c r="A15" s="6" t="s">
        <v>43</v>
      </c>
      <c r="B15" s="6" t="s">
        <v>58</v>
      </c>
      <c r="C15" s="6" t="s">
        <v>55</v>
      </c>
      <c r="D15" s="7" t="s">
        <v>56</v>
      </c>
      <c r="E15" s="6" t="s">
        <v>59</v>
      </c>
      <c r="F15" s="10" t="s">
        <v>47</v>
      </c>
    </row>
    <row r="16" customFormat="false" ht="39.75" hidden="false" customHeight="true" outlineLevel="0" collapsed="false">
      <c r="A16" s="6" t="s">
        <v>43</v>
      </c>
      <c r="B16" s="6" t="s">
        <v>60</v>
      </c>
      <c r="C16" s="6" t="s">
        <v>61</v>
      </c>
      <c r="D16" s="7" t="s">
        <v>39</v>
      </c>
      <c r="E16" s="6" t="s">
        <v>62</v>
      </c>
      <c r="F16" s="10" t="s">
        <v>47</v>
      </c>
    </row>
    <row r="17" customFormat="false" ht="39.75" hidden="false" customHeight="true" outlineLevel="0" collapsed="false">
      <c r="A17" s="6" t="s">
        <v>43</v>
      </c>
      <c r="B17" s="6" t="s">
        <v>63</v>
      </c>
      <c r="C17" s="6" t="s">
        <v>55</v>
      </c>
      <c r="D17" s="7" t="s">
        <v>56</v>
      </c>
      <c r="E17" s="6" t="s">
        <v>64</v>
      </c>
      <c r="F17" s="10" t="s">
        <v>47</v>
      </c>
    </row>
  </sheetData>
  <mergeCells count="4">
    <mergeCell ref="A1:F1"/>
    <mergeCell ref="A2:F2"/>
    <mergeCell ref="A5:F5"/>
    <mergeCell ref="A9:F9"/>
  </mergeCells>
  <hyperlinks>
    <hyperlink ref="F6" r:id="rId1" display="https://wa.me/5511940816373?text=Ol%C3%A1%21%20Venho%20Pelo%20Instagram%20Pet%20Derma%20e%20queria%20mais%20informa%C3%A7%C3%B5es%2C%20por%20favor."/>
    <hyperlink ref="F7" r:id="rId2" display="https://wa.me/5512991768686?text=Ol%C3%A1%21%20Venho%20Pelo%20Instagram%20Pet%20Derma%20SJC%20e%20queria%20mais%20informa%C3%A7%C3%B5es%2C%20por%20favor."/>
    <hyperlink ref="F8" r:id="rId3" display="https://wa.me/5511989812898?text=Ol%C3%A1%21%20Venho%20Pelo%20Instagram%20Dr.%20Douglas%20Bessa%20e%20queria%20mais%20informa%C3%A7%C3%B5es%2C%20por%20favor.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"/>
  </cols>
  <sheetData>
    <row r="1" customFormat="false" ht="25.5" hidden="false" customHeight="true" outlineLevel="0" collapsed="false">
      <c r="A1" s="1" t="s">
        <v>65</v>
      </c>
      <c r="B1" s="1"/>
      <c r="C1" s="1"/>
    </row>
    <row r="2" customFormat="false" ht="31.5" hidden="false" customHeight="true" outlineLevel="0" collapsed="false">
      <c r="A2" s="2" t="s">
        <v>66</v>
      </c>
      <c r="B2" s="2"/>
      <c r="C2" s="2"/>
    </row>
    <row r="4" customFormat="false" ht="15" hidden="false" customHeight="false" outlineLevel="0" collapsed="false">
      <c r="A4" s="3" t="s">
        <v>67</v>
      </c>
      <c r="B4" s="3" t="s">
        <v>68</v>
      </c>
    </row>
    <row r="5" customFormat="false" ht="15" hidden="false" customHeight="false" outlineLevel="0" collapsed="false">
      <c r="A5" s="6" t="s">
        <v>43</v>
      </c>
      <c r="B5" s="7" t="n">
        <f aca="false">COUNTIF('Controle de Leads'!$D$5:$D$300,A5)</f>
        <v>0</v>
      </c>
    </row>
    <row r="6" customFormat="false" ht="15" hidden="false" customHeight="false" outlineLevel="0" collapsed="false">
      <c r="A6" s="6" t="s">
        <v>13</v>
      </c>
      <c r="B6" s="7" t="n">
        <f aca="false">COUNTIF('Controle de Leads'!$D$5:$D$300,A6)</f>
        <v>1</v>
      </c>
    </row>
    <row r="7" customFormat="false" ht="15" hidden="false" customHeight="false" outlineLevel="0" collapsed="false">
      <c r="A7" s="6" t="s">
        <v>69</v>
      </c>
      <c r="B7" s="7" t="n">
        <f aca="false">COUNTIF('Controle de Leads'!$D$5:$D$300,A7)</f>
        <v>0</v>
      </c>
    </row>
    <row r="8" customFormat="false" ht="15" hidden="false" customHeight="false" outlineLevel="0" collapsed="false">
      <c r="A8" s="6" t="s">
        <v>70</v>
      </c>
      <c r="B8" s="7" t="n">
        <f aca="false">COUNTIF('Controle de Leads'!$D$5:$D$300,A8)</f>
        <v>0</v>
      </c>
    </row>
    <row r="9" customFormat="false" ht="15" hidden="false" customHeight="false" outlineLevel="0" collapsed="false">
      <c r="A9" s="11" t="s">
        <v>71</v>
      </c>
      <c r="B9" s="12" t="n">
        <f aca="false">SUM(B5:B8)</f>
        <v>1</v>
      </c>
    </row>
    <row r="11" customFormat="false" ht="15" hidden="false" customHeight="false" outlineLevel="0" collapsed="false">
      <c r="A11" s="3" t="s">
        <v>72</v>
      </c>
      <c r="B11" s="3" t="s">
        <v>68</v>
      </c>
    </row>
    <row r="12" customFormat="false" ht="15" hidden="false" customHeight="false" outlineLevel="0" collapsed="false">
      <c r="A12" s="6" t="s">
        <v>16</v>
      </c>
      <c r="B12" s="7" t="n">
        <f aca="false">COUNTIF('Controle de Leads'!$G$5:$G$300,A12)</f>
        <v>1</v>
      </c>
    </row>
    <row r="13" customFormat="false" ht="15" hidden="false" customHeight="false" outlineLevel="0" collapsed="false">
      <c r="A13" s="6" t="s">
        <v>73</v>
      </c>
      <c r="B13" s="7" t="n">
        <f aca="false">COUNTIF('Controle de Leads'!$G$5:$G$300,A13)</f>
        <v>0</v>
      </c>
    </row>
    <row r="14" customFormat="false" ht="15" hidden="false" customHeight="false" outlineLevel="0" collapsed="false">
      <c r="A14" s="6" t="s">
        <v>74</v>
      </c>
      <c r="B14" s="7" t="n">
        <f aca="false">COUNTIF('Controle de Leads'!$G$5:$G$300,A14)</f>
        <v>0</v>
      </c>
    </row>
    <row r="15" customFormat="false" ht="15" hidden="false" customHeight="false" outlineLevel="0" collapsed="false">
      <c r="A15" s="6" t="s">
        <v>75</v>
      </c>
      <c r="B15" s="7" t="n">
        <f aca="false">COUNTIF('Controle de Leads'!$G$5:$G$300,A15)</f>
        <v>0</v>
      </c>
    </row>
    <row r="16" customFormat="false" ht="15" hidden="false" customHeight="false" outlineLevel="0" collapsed="false">
      <c r="A16" s="6" t="s">
        <v>76</v>
      </c>
      <c r="B16" s="7" t="n">
        <f aca="false">COUNTIF('Controle de Leads'!$G$5:$G$300,A16)</f>
        <v>0</v>
      </c>
    </row>
    <row r="17" customFormat="false" ht="15" hidden="false" customHeight="false" outlineLevel="0" collapsed="false">
      <c r="A17" s="6" t="s">
        <v>77</v>
      </c>
      <c r="B17" s="7" t="n">
        <f aca="false">COUNTIF('Controle de Leads'!$G$5:$G$300,A17)</f>
        <v>0</v>
      </c>
    </row>
    <row r="19" customFormat="false" ht="15" hidden="false" customHeight="false" outlineLevel="0" collapsed="false">
      <c r="A19" s="3" t="s">
        <v>78</v>
      </c>
      <c r="B19" s="3" t="s">
        <v>68</v>
      </c>
    </row>
    <row r="20" customFormat="false" ht="15" hidden="false" customHeight="false" outlineLevel="0" collapsed="false">
      <c r="A20" s="6" t="s">
        <v>14</v>
      </c>
      <c r="B20" s="7" t="n">
        <f aca="false">COUNTIF('Controle de Leads'!$E$5:$E$300,A20)</f>
        <v>1</v>
      </c>
    </row>
    <row r="21" customFormat="false" ht="15" hidden="false" customHeight="false" outlineLevel="0" collapsed="false">
      <c r="A21" s="6" t="s">
        <v>51</v>
      </c>
      <c r="B21" s="7" t="n">
        <f aca="false">COUNTIF('Controle de Leads'!$E$5:$E$300,A21)</f>
        <v>0</v>
      </c>
    </row>
    <row r="22" customFormat="false" ht="15" hidden="false" customHeight="false" outlineLevel="0" collapsed="false">
      <c r="A22" s="6" t="s">
        <v>33</v>
      </c>
      <c r="B22" s="7" t="n">
        <f aca="false">COUNTIF('Controle de Leads'!$E$5:$E$300,A22)</f>
        <v>0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2026-07-29T18:34:51Z</dcterms:created>
  <dc:creator>openpyxl</dc:creator>
  <dc:description/>
  <dc:language>en-US</dc:language>
  <cp:lastModifiedBy/>
  <dcterms:modified xsi:type="dcterms:W3CDTF">2026-07-29T18:34:51Z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